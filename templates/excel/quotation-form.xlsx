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TP\Downloads\"/>
    </mc:Choice>
  </mc:AlternateContent>
  <xr:revisionPtr revIDLastSave="0" documentId="13_ncr:1_{0B12B66D-F6FE-4D97-89C0-C2979AE8F1A2}" xr6:coauthVersionLast="47" xr6:coauthVersionMax="47" xr10:uidLastSave="{00000000-0000-0000-0000-000000000000}"/>
  <workbookProtection workbookAlgorithmName="SHA-512" workbookHashValue="WQKJAAGEx5cnnvU3YATB0SwrPdWsfGS7q54f70xZiAHBgIKr81GABbG/7vzicZpHbOBmLAujcC24dGC+wX+kbQ==" workbookSaltValue="9ba0ngy7YfSRJzU1tBkXDQ==" workbookSpinCount="100000" lockStructure="1"/>
  <bookViews>
    <workbookView xWindow="-108" yWindow="-108" windowWidth="23256" windowHeight="12456" xr2:uid="{00000000-000D-0000-FFFF-FFFF00000000}"/>
  </bookViews>
  <sheets>
    <sheet name="Quotation" sheetId="2" r:id="rId1"/>
    <sheet name="Customer" sheetId="6" r:id="rId2"/>
  </sheets>
  <definedNames>
    <definedName name="Customer">Customer!$A:$A</definedName>
    <definedName name="_xlnm.Print_Area" localSheetId="1">Customer!$A$1:$E$93</definedName>
    <definedName name="_xlnm.Print_Area" localSheetId="0">Quotation!$B$1:$G$39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32" i="2" l="1"/>
  <c r="G33" i="2" s="1"/>
  <c r="G34" i="2" s="1"/>
  <c r="B34" i="2" s="1"/>
</calcChain>
</file>

<file path=xl/sharedStrings.xml><?xml version="1.0" encoding="utf-8"?>
<sst xmlns="http://schemas.openxmlformats.org/spreadsheetml/2006/main" count="61" uniqueCount="61">
  <si>
    <t>Item</t>
  </si>
  <si>
    <t>Description</t>
  </si>
  <si>
    <t>Unit Price</t>
  </si>
  <si>
    <t>Qty</t>
  </si>
  <si>
    <t>Unit</t>
  </si>
  <si>
    <t>Amount</t>
  </si>
  <si>
    <t>Total</t>
  </si>
  <si>
    <t>Grand Total</t>
  </si>
  <si>
    <t>NTP ELECTRIC AND ENGINEERING CO., LTD.</t>
  </si>
  <si>
    <t xml:space="preserve">Date : </t>
  </si>
  <si>
    <t xml:space="preserve">Quotation No : </t>
  </si>
  <si>
    <t xml:space="preserve">อ้างอิง BOQ : </t>
  </si>
  <si>
    <t>บริษัทมีความยินดีที่จะเสนอราคาสินค้า ดังต่อไปนี้ :</t>
  </si>
  <si>
    <t>DISCOUNT</t>
  </si>
  <si>
    <t>SUB TOTAL</t>
  </si>
  <si>
    <t xml:space="preserve">Vat </t>
  </si>
  <si>
    <t>Customer</t>
  </si>
  <si>
    <t>Attention</t>
  </si>
  <si>
    <t>E-mail</t>
  </si>
  <si>
    <t>MAYEKAWA (THAILAND) CO., LTD</t>
  </si>
  <si>
    <t>คุณณัฐพล</t>
  </si>
  <si>
    <t>nattapon@mth.co.th</t>
  </si>
  <si>
    <t>บริษัท ซี.เอช.ยู. เอ็นจิเนียริ่ง จำกัด</t>
  </si>
  <si>
    <t>คุณชูศักดิ์</t>
  </si>
  <si>
    <t>chu_engineering@hotmail.com</t>
  </si>
  <si>
    <t>คุณเกศทิพย์</t>
  </si>
  <si>
    <t>terdsak.aed@cpf.co.th</t>
  </si>
  <si>
    <t>ผู้เสนอราคา</t>
  </si>
  <si>
    <t>(นายณัฐพล ลุนะหา)</t>
  </si>
  <si>
    <t>T.081-3752024</t>
  </si>
  <si>
    <t>ที่อยู่ 1</t>
  </si>
  <si>
    <t>ที่อยู่ 2</t>
  </si>
  <si>
    <t xml:space="preserve">2/3 อาคารบางนาทาวเวอร์ อาคาร เอ ชั้นที่ 4 หมู่ที่ 14 ถนนบางนา-ตราด </t>
  </si>
  <si>
    <t>ตำบลบางแก้ว อำเภอบางพลี จ.สมุทรปราการ 10540</t>
  </si>
  <si>
    <t xml:space="preserve">2/277 ซอยไมตรีจิต 9 ถนนไมตรีจิต </t>
  </si>
  <si>
    <t>แขวงสามวาตะวันออก เขตคลองสามวา กรุงเทพมหานคร 10510</t>
  </si>
  <si>
    <t>บริษัท ซีพี แอนด์ พี (เซ็นเตอร์ พาร์ท แอนด์ พรีซิชั่น) จำกัด</t>
  </si>
  <si>
    <t xml:space="preserve">84/8 หมู่ที่ 14 </t>
  </si>
  <si>
    <t>ตำบลราชาเทวะ อำเภอบางพลี จ.สมุทรปราการ 10540</t>
  </si>
  <si>
    <t>(สำนักงานใหญ่) เลขประจำตัวผู้เสียภาษี 0-1155-59027-64-1</t>
  </si>
  <si>
    <t>107/83 หมู่ที่ 12 ตำบลบางปลา อำเภอบางพลี จังหวัดสมุทรปราการ 10540</t>
  </si>
  <si>
    <t>ลูกค้า</t>
  </si>
  <si>
    <t>เลขประจำตัวผู้เสียภาษี :  0-1055-31076-70-2</t>
  </si>
  <si>
    <t>TEL:02-102-3363 FAX :02-102-4944 Email:ntpelectric2017@gmail.com</t>
  </si>
  <si>
    <t>บริษัท อาร์ต ออฟ เบคกิ้ง จำกัด</t>
  </si>
  <si>
    <t xml:space="preserve">111/21 หมู่ที่ 2 โครงการอยู่เจริญท่าจีน ตำบลท่าจีน </t>
  </si>
  <si>
    <t>อำเภอเมืองสมุทรสาคร จ.สมุทรสาคร 74000</t>
  </si>
  <si>
    <t xml:space="preserve">	0105561031154</t>
  </si>
  <si>
    <t>คุณคมสันต์</t>
  </si>
  <si>
    <r>
      <t xml:space="preserve">หมายเหตุ  </t>
    </r>
    <r>
      <rPr>
        <b/>
        <sz val="14"/>
        <color theme="1"/>
        <rFont val="Angsana New"/>
        <family val="1"/>
      </rPr>
      <t>ยืนราคา 30 วันนับจากวันเสนอราคา</t>
    </r>
  </si>
  <si>
    <t xml:space="preserve">เงื่อนไขการชำระเงิน : </t>
  </si>
  <si>
    <t>เครดิต 15 วัน</t>
  </si>
  <si>
    <t>เครดิต 0 วัน</t>
  </si>
  <si>
    <t>เครดิต 30 วัน</t>
  </si>
  <si>
    <t>เครดิต60วัน</t>
  </si>
  <si>
    <t xml:space="preserve">  Project :</t>
  </si>
  <si>
    <t xml:space="preserve">บริษัท เอ็นทีพี อิเล็คทริคแอนด์เอ็นจิเนียริ่ง จำกัด </t>
  </si>
  <si>
    <t>ผู้อนุมัติสั่งซื้อ.........................</t>
  </si>
  <si>
    <t>วันที่.............................................</t>
  </si>
  <si>
    <t xml:space="preserve">เลขประจำตัวผู้เสียภาษี :  </t>
  </si>
  <si>
    <r>
      <rPr>
        <sz val="15"/>
        <color theme="1"/>
        <rFont val="Angsana New"/>
        <family val="1"/>
      </rPr>
      <t>เงื่อนไขการชำระเงิน</t>
    </r>
    <r>
      <rPr>
        <sz val="16"/>
        <color theme="1"/>
        <rFont val="Angsana New"/>
        <family val="1"/>
      </rPr>
      <t xml:space="preserve"> :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</si>
</sst>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m/d/yyyy;@"/>
    <numFmt numFmtId="166" formatCode="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sz val="18"/>
      <color theme="1"/>
      <name val="Angsana New"/>
      <family val="1"/>
    </font>
    <font>
      <b/>
      <sz val="16"/>
      <color theme="3" tint="-0.249977111117893"/>
      <name val="Angsana New"/>
      <family val="1"/>
    </font>
    <font>
      <sz val="16"/>
      <color theme="3" tint="-0.249977111117893"/>
      <name val="Angsana New"/>
      <family val="1"/>
    </font>
    <font>
      <b/>
      <sz val="18"/>
      <color rgb="FFFF0000"/>
      <name val="Angsana New"/>
      <family val="1"/>
    </font>
    <font>
      <b/>
      <sz val="18"/>
      <name val="Angsana New"/>
      <family val="1"/>
    </font>
    <font>
      <b/>
      <sz val="22"/>
      <color theme="1"/>
      <name val="Angsana New"/>
      <family val="1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u/>
      <sz val="11"/>
      <color theme="10"/>
      <name val="Calibri"/>
      <family val="2"/>
      <scheme val="minor"/>
    </font>
    <font>
      <b/>
      <sz val="18"/>
      <color theme="3" tint="-0.249977111117893"/>
      <name val="Angsana New"/>
      <family val="1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sz val="12.5"/>
      <color theme="1"/>
      <name val="Angsana New"/>
      <family val="1"/>
    </font>
    <font>
      <sz val="15"/>
      <color theme="1"/>
      <name val="Angsana New"/>
      <family val="1"/>
    </font>
    <font>
      <b/>
      <sz val="15.5"/>
      <color theme="1"/>
      <name val="Angsana New"/>
      <family val="1"/>
    </font>
    <font>
      <b/>
      <sz val="12"/>
      <color theme="3" tint="-0.249977111117893"/>
      <name val="Angsana New"/>
      <family val="1"/>
    </font>
    <font>
      <b/>
      <sz val="14"/>
      <color theme="3" tint="-0.249977111117893"/>
      <name val="Angsana New"/>
      <family val="1"/>
    </font>
    <font>
      <b/>
      <sz val="16.5"/>
      <color theme="1"/>
      <name val="Angsana New"/>
      <family val="1"/>
    </font>
    <font>
      <b/>
      <sz val="15"/>
      <color theme="1"/>
      <name val="Angsana New"/>
      <family val="1"/>
    </font>
    <font>
      <b/>
      <sz val="11"/>
      <color theme="1"/>
      <name val="Calibri"/>
      <family val="2"/>
      <scheme val="minor"/>
    </font>
    <font>
      <b/>
      <sz val="12.5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FF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F4AFC"/>
      </left>
      <right/>
      <top/>
      <bottom/>
      <diagonal/>
    </border>
    <border>
      <left style="thin">
        <color rgb="FF5F4AFC"/>
      </left>
      <right/>
      <top style="thin">
        <color rgb="FF5F4AFC"/>
      </top>
      <bottom/>
      <diagonal/>
    </border>
    <border>
      <left/>
      <right/>
      <top style="thin">
        <color rgb="FF5F4AFC"/>
      </top>
      <bottom/>
      <diagonal/>
    </border>
    <border>
      <left/>
      <right style="thin">
        <color rgb="FF5F4AFC"/>
      </right>
      <top style="thin">
        <color rgb="FF5F4AFC"/>
      </top>
      <bottom/>
      <diagonal/>
    </border>
    <border>
      <left/>
      <right style="thin">
        <color rgb="FF5F4AFC"/>
      </right>
      <top/>
      <bottom/>
      <diagonal/>
    </border>
    <border>
      <left style="thin">
        <color rgb="FF5F4AF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4AFC"/>
      </right>
      <top style="thin">
        <color rgb="FF000000"/>
      </top>
      <bottom style="thin">
        <color rgb="FF000000"/>
      </bottom>
      <diagonal/>
    </border>
    <border>
      <left style="thin">
        <color rgb="FF5F4AFC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5F4AFC"/>
      </right>
      <top style="thin">
        <color indexed="64"/>
      </top>
      <bottom style="thin">
        <color indexed="64"/>
      </bottom>
      <diagonal/>
    </border>
    <border>
      <left style="thin">
        <color rgb="FF5F4AFC"/>
      </left>
      <right/>
      <top style="thin">
        <color indexed="64"/>
      </top>
      <bottom style="thin">
        <color indexed="64"/>
      </bottom>
      <diagonal/>
    </border>
    <border>
      <left style="thin">
        <color rgb="FF5F4AFC"/>
      </left>
      <right/>
      <top/>
      <bottom style="thin">
        <color rgb="FF5F4AFC"/>
      </bottom>
      <diagonal/>
    </border>
    <border>
      <left/>
      <right/>
      <top/>
      <bottom style="thin">
        <color rgb="FF5F4AFC"/>
      </bottom>
      <diagonal/>
    </border>
    <border>
      <left/>
      <right style="thin">
        <color rgb="FF5F4AFC"/>
      </right>
      <top/>
      <bottom style="thin">
        <color rgb="FF5F4AFC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0">
    <xf numFmtId="0" fontId="0" fillId="0" borderId="0" xfId="0"/>
    <xf numFmtId="0" fontId="7" fillId="0" borderId="0" xfId="0" applyFont="1"/>
    <xf numFmtId="0" fontId="11" fillId="0" borderId="0" xfId="0" applyFont="1" applyAlignment="1">
      <alignment horizontal="center"/>
    </xf>
    <xf numFmtId="2" fontId="7" fillId="0" borderId="0" xfId="0" applyNumberFormat="1" applyFont="1"/>
    <xf numFmtId="1" fontId="7" fillId="0" borderId="0" xfId="0" applyNumberFormat="1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4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4" fillId="2" borderId="7" xfId="0" applyFont="1" applyFill="1" applyBorder="1"/>
    <xf numFmtId="9" fontId="4" fillId="2" borderId="8" xfId="0" applyNumberFormat="1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8" xfId="0" applyFont="1" applyFill="1" applyBorder="1"/>
    <xf numFmtId="0" fontId="2" fillId="2" borderId="0" xfId="0" applyFont="1" applyFill="1" applyAlignment="1">
      <alignment vertical="top"/>
    </xf>
    <xf numFmtId="0" fontId="18" fillId="2" borderId="0" xfId="0" applyFont="1" applyFill="1" applyAlignment="1">
      <alignment horizontal="left" vertical="top" indent="19"/>
    </xf>
    <xf numFmtId="0" fontId="7" fillId="2" borderId="4" xfId="0" applyFont="1" applyFill="1" applyBorder="1"/>
    <xf numFmtId="0" fontId="7" fillId="2" borderId="6" xfId="0" applyFont="1" applyFill="1" applyBorder="1"/>
    <xf numFmtId="0" fontId="2" fillId="2" borderId="6" xfId="0" applyFont="1" applyFill="1" applyBorder="1"/>
    <xf numFmtId="0" fontId="21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/>
    </xf>
    <xf numFmtId="0" fontId="5" fillId="2" borderId="11" xfId="0" applyFont="1" applyFill="1" applyBorder="1"/>
    <xf numFmtId="0" fontId="19" fillId="2" borderId="0" xfId="0" applyFont="1" applyFill="1" applyAlignment="1">
      <alignment vertical="top"/>
    </xf>
    <xf numFmtId="164" fontId="25" fillId="2" borderId="1" xfId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14" fillId="2" borderId="0" xfId="0" applyFont="1" applyFill="1" applyAlignment="1" applyProtection="1">
      <alignment horizontal="left" vertical="center" indent="19"/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left" indent="19"/>
      <protection locked="0"/>
    </xf>
    <xf numFmtId="0" fontId="18" fillId="2" borderId="0" xfId="0" applyFont="1" applyFill="1" applyAlignment="1" applyProtection="1">
      <alignment horizontal="left" vertical="top" indent="19"/>
      <protection locked="0"/>
    </xf>
    <xf numFmtId="0" fontId="15" fillId="2" borderId="0" xfId="2" applyFill="1" applyBorder="1" applyAlignment="1" applyProtection="1">
      <alignment horizontal="left" indent="19"/>
      <protection locked="0"/>
    </xf>
    <xf numFmtId="0" fontId="2" fillId="2" borderId="0" xfId="0" applyFont="1" applyFill="1" applyProtection="1">
      <protection locked="0"/>
    </xf>
    <xf numFmtId="0" fontId="13" fillId="2" borderId="0" xfId="0" applyFont="1" applyFill="1" applyAlignment="1" applyProtection="1">
      <alignment horizontal="left" vertical="center" indent="15"/>
      <protection locked="0"/>
    </xf>
    <xf numFmtId="0" fontId="5" fillId="2" borderId="0" xfId="0" applyFont="1" applyFill="1" applyProtection="1">
      <protection locked="0"/>
    </xf>
    <xf numFmtId="0" fontId="16" fillId="2" borderId="0" xfId="0" applyFont="1" applyFill="1" applyAlignment="1">
      <alignment horizontal="right"/>
    </xf>
    <xf numFmtId="0" fontId="7" fillId="2" borderId="0" xfId="0" applyFont="1" applyFill="1" applyAlignment="1">
      <alignment vertical="top"/>
    </xf>
    <xf numFmtId="0" fontId="8" fillId="2" borderId="0" xfId="0" applyFont="1" applyFill="1" applyAlignment="1">
      <alignment horizontal="right" vertical="top"/>
    </xf>
    <xf numFmtId="0" fontId="5" fillId="2" borderId="0" xfId="0" applyFont="1" applyFill="1"/>
    <xf numFmtId="0" fontId="4" fillId="2" borderId="0" xfId="0" applyFont="1" applyFill="1"/>
    <xf numFmtId="0" fontId="17" fillId="2" borderId="0" xfId="0" applyFont="1" applyFill="1"/>
    <xf numFmtId="0" fontId="22" fillId="2" borderId="0" xfId="0" applyFont="1" applyFill="1" applyAlignment="1">
      <alignment horizontal="right"/>
    </xf>
    <xf numFmtId="166" fontId="4" fillId="2" borderId="0" xfId="0" applyNumberFormat="1" applyFont="1" applyFill="1" applyAlignment="1">
      <alignment vertical="top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13" xfId="0" applyFont="1" applyFill="1" applyBorder="1"/>
    <xf numFmtId="0" fontId="2" fillId="2" borderId="14" xfId="0" applyFont="1" applyFill="1" applyBorder="1"/>
    <xf numFmtId="0" fontId="12" fillId="2" borderId="15" xfId="0" applyFont="1" applyFill="1" applyBorder="1" applyAlignment="1" applyProtection="1">
      <alignment horizontal="left" indent="19"/>
      <protection locked="0"/>
    </xf>
    <xf numFmtId="0" fontId="6" fillId="2" borderId="15" xfId="0" applyFont="1" applyFill="1" applyBorder="1" applyProtection="1">
      <protection locked="0"/>
    </xf>
    <xf numFmtId="0" fontId="6" fillId="2" borderId="16" xfId="0" applyFont="1" applyFill="1" applyBorder="1" applyProtection="1">
      <protection locked="0"/>
    </xf>
    <xf numFmtId="0" fontId="6" fillId="2" borderId="17" xfId="0" applyFont="1" applyFill="1" applyBorder="1" applyProtection="1">
      <protection locked="0"/>
    </xf>
    <xf numFmtId="0" fontId="18" fillId="2" borderId="13" xfId="0" applyFont="1" applyFill="1" applyBorder="1" applyAlignment="1">
      <alignment horizontal="left" vertical="top" indent="19"/>
    </xf>
    <xf numFmtId="0" fontId="18" fillId="2" borderId="17" xfId="0" applyFont="1" applyFill="1" applyBorder="1" applyAlignment="1" applyProtection="1">
      <alignment horizontal="left" vertical="top" indent="19"/>
      <protection locked="0"/>
    </xf>
    <xf numFmtId="0" fontId="2" fillId="2" borderId="17" xfId="0" applyFont="1" applyFill="1" applyBorder="1" applyProtection="1">
      <protection locked="0"/>
    </xf>
    <xf numFmtId="0" fontId="5" fillId="2" borderId="13" xfId="0" applyFont="1" applyFill="1" applyBorder="1" applyProtection="1">
      <protection locked="0"/>
    </xf>
    <xf numFmtId="0" fontId="8" fillId="2" borderId="13" xfId="0" applyFont="1" applyFill="1" applyBorder="1" applyAlignment="1">
      <alignment vertical="top"/>
    </xf>
    <xf numFmtId="0" fontId="8" fillId="2" borderId="13" xfId="0" applyFont="1" applyFill="1" applyBorder="1" applyAlignment="1">
      <alignment horizontal="center" vertical="center"/>
    </xf>
    <xf numFmtId="0" fontId="8" fillId="2" borderId="13" xfId="0" applyFont="1" applyFill="1" applyBorder="1"/>
    <xf numFmtId="0" fontId="9" fillId="2" borderId="13" xfId="0" applyFont="1" applyFill="1" applyBorder="1"/>
    <xf numFmtId="0" fontId="2" fillId="2" borderId="17" xfId="0" applyFont="1" applyFill="1" applyBorder="1"/>
    <xf numFmtId="0" fontId="23" fillId="2" borderId="13" xfId="0" applyFont="1" applyFill="1" applyBorder="1" applyAlignment="1">
      <alignment horizontal="left"/>
    </xf>
    <xf numFmtId="0" fontId="23" fillId="2" borderId="13" xfId="0" applyFont="1" applyFill="1" applyBorder="1" applyAlignment="1">
      <alignment horizontal="left" vertical="top" indent="6"/>
    </xf>
    <xf numFmtId="0" fontId="19" fillId="2" borderId="17" xfId="0" applyFont="1" applyFill="1" applyBorder="1" applyAlignment="1">
      <alignment vertical="top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164" fontId="25" fillId="2" borderId="19" xfId="1" applyFont="1" applyFill="1" applyBorder="1" applyAlignment="1">
      <alignment horizontal="center"/>
    </xf>
    <xf numFmtId="0" fontId="10" fillId="2" borderId="20" xfId="0" applyFont="1" applyFill="1" applyBorder="1"/>
    <xf numFmtId="164" fontId="2" fillId="2" borderId="21" xfId="1" applyFont="1" applyFill="1" applyBorder="1" applyAlignment="1">
      <alignment horizontal="center"/>
    </xf>
    <xf numFmtId="0" fontId="4" fillId="2" borderId="13" xfId="0" applyFont="1" applyFill="1" applyBorder="1"/>
    <xf numFmtId="0" fontId="4" fillId="2" borderId="17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0" fillId="2" borderId="24" xfId="0" applyFill="1" applyBorder="1"/>
    <xf numFmtId="0" fontId="25" fillId="2" borderId="18" xfId="0" applyFont="1" applyFill="1" applyBorder="1" applyAlignment="1">
      <alignment horizontal="center"/>
    </xf>
    <xf numFmtId="164" fontId="4" fillId="2" borderId="21" xfId="1" applyFont="1" applyFill="1" applyBorder="1" applyAlignment="1">
      <alignment horizontal="center"/>
    </xf>
    <xf numFmtId="0" fontId="2" fillId="2" borderId="13" xfId="0" applyFont="1" applyFill="1" applyBorder="1" applyAlignment="1">
      <alignment horizontal="left" indent="11"/>
    </xf>
    <xf numFmtId="0" fontId="26" fillId="2" borderId="0" xfId="0" applyFont="1" applyFill="1"/>
    <xf numFmtId="0" fontId="27" fillId="2" borderId="1" xfId="0" applyFont="1" applyFill="1" applyBorder="1" applyAlignment="1">
      <alignment vertical="center"/>
    </xf>
    <xf numFmtId="0" fontId="18" fillId="2" borderId="0" xfId="0" applyFont="1" applyFill="1"/>
    <xf numFmtId="0" fontId="18" fillId="2" borderId="18" xfId="0" applyFont="1" applyFill="1" applyBorder="1" applyAlignment="1">
      <alignment horizontal="center"/>
    </xf>
    <xf numFmtId="0" fontId="18" fillId="2" borderId="1" xfId="0" applyFont="1" applyFill="1" applyBorder="1"/>
    <xf numFmtId="164" fontId="18" fillId="2" borderId="1" xfId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164" fontId="18" fillId="2" borderId="19" xfId="1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7" xfId="0" applyFont="1" applyFill="1" applyBorder="1" applyAlignment="1">
      <alignment horizontal="left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0" xfId="0" applyFont="1" applyFill="1" applyAlignment="1" applyProtection="1">
      <alignment horizontal="center"/>
      <protection locked="0"/>
    </xf>
    <xf numFmtId="0" fontId="12" fillId="2" borderId="17" xfId="0" applyFont="1" applyFill="1" applyBorder="1" applyAlignment="1" applyProtection="1">
      <alignment horizontal="center"/>
      <protection locked="0"/>
    </xf>
    <xf numFmtId="165" fontId="2" fillId="2" borderId="0" xfId="0" applyNumberFormat="1" applyFont="1" applyFill="1" applyAlignment="1">
      <alignment horizontal="left"/>
    </xf>
    <xf numFmtId="165" fontId="2" fillId="2" borderId="17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0" fontId="4" fillId="3" borderId="2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4" fontId="4" fillId="2" borderId="0" xfId="0" applyNumberFormat="1" applyFont="1" applyFill="1" applyAlignment="1">
      <alignment horizontal="left"/>
    </xf>
    <xf numFmtId="14" fontId="4" fillId="2" borderId="17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17" xfId="0" applyFont="1" applyFill="1" applyBorder="1" applyAlignment="1">
      <alignment horizontal="left"/>
    </xf>
    <xf numFmtId="0" fontId="4" fillId="2" borderId="0" xfId="0" applyFont="1" applyFill="1" applyAlignment="1">
      <alignment horizontal="left" vertical="top"/>
    </xf>
    <xf numFmtId="0" fontId="4" fillId="2" borderId="17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/>
    </xf>
    <xf numFmtId="0" fontId="24" fillId="2" borderId="17" xfId="0" applyFont="1" applyFill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5F4AFC"/>
      <color rgb="FFD9D9FF"/>
      <color rgb="FFB9B9FF"/>
      <color rgb="FF9F9FFF"/>
      <color rgb="FF0000FF"/>
      <color rgb="FF61A1FF"/>
      <color rgb="FF5C63F6"/>
      <color rgb="FF999EF9"/>
      <color rgb="FFFFFFFF"/>
      <color rgb="FFB3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240718</xdr:colOff>
      <xdr:row>0</xdr:row>
      <xdr:rowOff>228599</xdr:rowOff>
    </xdr:from>
    <xdr:to>
      <xdr:col>2</xdr:col>
      <xdr:colOff>1457325</xdr:colOff>
      <xdr:row>4</xdr:row>
      <xdr:rowOff>79070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6CF85C9-DB54-BE2E-E03B-8035D873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1743" y="228599"/>
          <a:ext cx="1216607" cy="1012521"/>
        </a:xfrm>
        <a:prstGeom prst="rect">
          <a:avLst/>
        </a:prstGeom>
      </xdr:spPr>
    </xdr:pic>
    <xdr:clientData/>
  </xdr:twoCellAnchor>
  <xdr:oneCellAnchor>
    <xdr:from>
      <xdr:col>2</xdr:col>
      <xdr:colOff>1876425</xdr:colOff>
      <xdr:row>6</xdr:row>
      <xdr:rowOff>114300</xdr:rowOff>
    </xdr:from>
    <xdr:ext cx="2038350" cy="391178"/>
    <xdr:sp macro="" textlink="">
      <xdr:nvSpPr>
        <xdr:cNvPr id="2" name="สี่เหลี่ยมผืนผ้า: มุมมน 1">
          <a:extLst>
            <a:ext uri="{FF2B5EF4-FFF2-40B4-BE49-F238E27FC236}">
              <a16:creationId xmlns:a16="http://schemas.microsoft.com/office/drawing/2014/main" id="{9CBD7144-021B-4D9F-F7F4-C668A32AB675}"/>
            </a:ext>
          </a:extLst>
        </xdr:cNvPr>
        <xdr:cNvSpPr>
          <a:spLocks noChangeAspect="1"/>
        </xdr:cNvSpPr>
      </xdr:nvSpPr>
      <xdr:spPr>
        <a:xfrm>
          <a:off x="2457450" y="1581150"/>
          <a:ext cx="2038350" cy="391178"/>
        </a:xfrm>
        <a:prstGeom prst="roundRect">
          <a:avLst/>
        </a:prstGeom>
        <a:solidFill>
          <a:srgbClr val="D9D9FF">
            <a:alpha val="57647"/>
          </a:srgbClr>
        </a:solidFill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 anchorCtr="0">
          <a:noAutofit/>
        </a:bodyPr>
        <a:lstStyle/>
        <a:p>
          <a:pPr lvl="0" algn="ctr"/>
          <a:r>
            <a:rPr lang="en-US" sz="2400" b="1">
              <a:solidFill>
                <a:schemeClr val="tx1">
                  <a:lumMod val="95000"/>
                  <a:lumOff val="5000"/>
                </a:schemeClr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Quotation </a:t>
          </a:r>
          <a:r>
            <a:rPr lang="en-US" sz="1600" b="1">
              <a:solidFill>
                <a:schemeClr val="tx1">
                  <a:lumMod val="95000"/>
                  <a:lumOff val="5000"/>
                </a:schemeClr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(</a:t>
          </a:r>
          <a:r>
            <a:rPr lang="th-TH" sz="1600" b="1">
              <a:solidFill>
                <a:schemeClr val="tx1">
                  <a:lumMod val="95000"/>
                  <a:lumOff val="5000"/>
                </a:schemeClr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ใบเสนอราคา)</a:t>
          </a:r>
          <a:endParaRPr lang="en-US" sz="1600" b="1">
            <a:solidFill>
              <a:schemeClr val="tx1">
                <a:lumMod val="95000"/>
                <a:lumOff val="5000"/>
              </a:schemeClr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oneCellAnchor>
  <xdr:twoCellAnchor editAs="oneCell">
    <xdr:from>
      <xdr:col>4</xdr:col>
      <xdr:colOff>114300</xdr:colOff>
      <xdr:row>34</xdr:row>
      <xdr:rowOff>295274</xdr:rowOff>
    </xdr:from>
    <xdr:to>
      <xdr:col>6</xdr:col>
      <xdr:colOff>131908</xdr:colOff>
      <xdr:row>36</xdr:row>
      <xdr:rowOff>237464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1EF0802-622D-3102-7AE2-493BF7B50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2075" y="9277349"/>
          <a:ext cx="951058" cy="53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gradFill flip="none" rotWithShape="1">
          <a:gsLst>
            <a:gs pos="0">
              <a:srgbClr val="93DBFF">
                <a:tint val="66000"/>
                <a:satMod val="160000"/>
              </a:srgbClr>
            </a:gs>
            <a:gs pos="50000">
              <a:srgbClr val="93DBFF">
                <a:tint val="44500"/>
                <a:satMod val="160000"/>
              </a:srgbClr>
            </a:gs>
            <a:gs pos="72000">
              <a:srgbClr val="93DBFF">
                <a:tint val="23500"/>
                <a:satMod val="160000"/>
                <a:lumMod val="92000"/>
                <a:lumOff val="8000"/>
              </a:srgbClr>
            </a:gs>
          </a:gsLst>
          <a:lin ang="16200000" scaled="1"/>
          <a:tileRect/>
        </a:gradFill>
        <a:ln w="19050" cap="flat" cmpd="sng" algn="ctr">
          <a:solidFill>
            <a:srgbClr val="66CCFF"/>
          </a:solidFill>
          <a:prstDash val="solid"/>
          <a:round/>
          <a:headEnd type="none" w="med" len="med"/>
          <a:tailEnd type="none" w="med" len="med"/>
        </a:ln>
      </a:spPr>
      <a:bodyPr vertOverflow="clip" horzOverflow="clip" rtlCol="0" anchor="t"/>
      <a:lstStyle>
        <a:defPPr algn="ctr">
          <a:defRPr sz="2800">
            <a:solidFill>
              <a:schemeClr val="tx1">
                <a:lumMod val="95000"/>
                <a:lumOff val="5000"/>
              </a:schemeClr>
            </a:solidFill>
            <a:latin typeface="Angsana New" panose="02020603050405020304" pitchFamily="18" charset="-34"/>
            <a:cs typeface="Angsana New" panose="02020603050405020304" pitchFamily="18" charset="-34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2-102-3363%20FAX%20:02-102-4944%20Email:ntpelectric201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39"/>
  <sheetViews>
    <sheetView tabSelected="1" zoomScale="115" zoomScaleNormal="115" workbookViewId="0">
      <selection activeCell="M37" sqref="M37"/>
    </sheetView>
  </sheetViews>
  <sheetFormatPr defaultColWidth="9" defaultRowHeight="23.4" x14ac:dyDescent="0.6"/>
  <cols>
    <col min="1" max="1" width="1" style="5" customWidth="1"/>
    <col min="2" max="2" width="7.77734375" style="5" customWidth="1"/>
    <col min="3" max="3" width="54.6640625" style="5" customWidth="1"/>
    <col min="4" max="4" width="12.6640625" style="5" customWidth="1"/>
    <col min="5" max="6" width="7" style="5" customWidth="1"/>
    <col min="7" max="7" width="13" style="5" customWidth="1"/>
    <col min="8" max="16384" width="9" style="5"/>
  </cols>
  <sheetData>
    <row r="1" spans="2:9" ht="37.5" customHeight="1" x14ac:dyDescent="0.85">
      <c r="B1" s="48"/>
      <c r="C1" s="49" t="s">
        <v>56</v>
      </c>
      <c r="D1" s="50"/>
      <c r="E1" s="50"/>
      <c r="F1" s="50"/>
      <c r="G1" s="51"/>
    </row>
    <row r="2" spans="2:9" ht="14.25" customHeight="1" x14ac:dyDescent="0.75">
      <c r="B2" s="47"/>
      <c r="C2" s="29" t="s">
        <v>39</v>
      </c>
      <c r="D2" s="30"/>
      <c r="E2" s="30"/>
      <c r="F2" s="30"/>
      <c r="G2" s="52"/>
    </row>
    <row r="3" spans="2:9" ht="21" customHeight="1" x14ac:dyDescent="0.75">
      <c r="B3" s="47"/>
      <c r="C3" s="31" t="s">
        <v>8</v>
      </c>
      <c r="D3" s="30"/>
      <c r="E3" s="30"/>
      <c r="F3" s="30"/>
      <c r="G3" s="52"/>
    </row>
    <row r="4" spans="2:9" s="19" customFormat="1" ht="18.75" customHeight="1" x14ac:dyDescent="0.3">
      <c r="B4" s="53"/>
      <c r="C4" s="32" t="s">
        <v>40</v>
      </c>
      <c r="D4" s="32"/>
      <c r="E4" s="32"/>
      <c r="F4" s="32"/>
      <c r="G4" s="54"/>
    </row>
    <row r="5" spans="2:9" ht="16.5" customHeight="1" x14ac:dyDescent="0.6">
      <c r="B5" s="47"/>
      <c r="C5" s="33" t="s">
        <v>43</v>
      </c>
      <c r="D5" s="34"/>
      <c r="E5" s="34"/>
      <c r="F5" s="34"/>
      <c r="G5" s="55"/>
    </row>
    <row r="6" spans="2:9" ht="7.5" customHeight="1" x14ac:dyDescent="0.6">
      <c r="B6" s="47"/>
      <c r="C6" s="35"/>
      <c r="D6" s="34"/>
      <c r="E6" s="34"/>
      <c r="F6" s="34"/>
      <c r="G6" s="55"/>
    </row>
    <row r="7" spans="2:9" ht="21.75" customHeight="1" x14ac:dyDescent="0.85">
      <c r="B7" s="93"/>
      <c r="C7" s="94"/>
      <c r="D7" s="94"/>
      <c r="E7" s="94"/>
      <c r="F7" s="94"/>
      <c r="G7" s="95"/>
    </row>
    <row r="8" spans="2:9" ht="22.5" customHeight="1" x14ac:dyDescent="0.7">
      <c r="B8" s="56"/>
      <c r="C8" s="36"/>
      <c r="D8" s="36"/>
      <c r="E8" s="37"/>
      <c r="F8" s="96"/>
      <c r="G8" s="97"/>
    </row>
    <row r="9" spans="2:9" s="18" customFormat="1" ht="4.5" customHeight="1" x14ac:dyDescent="0.3">
      <c r="B9" s="57"/>
      <c r="D9" s="38"/>
      <c r="E9" s="39"/>
      <c r="F9" s="98"/>
      <c r="G9" s="99"/>
    </row>
    <row r="10" spans="2:9" ht="26.4" x14ac:dyDescent="0.7">
      <c r="B10" s="58" t="s">
        <v>41</v>
      </c>
      <c r="C10" s="40"/>
      <c r="E10" s="37" t="s">
        <v>9</v>
      </c>
      <c r="F10" s="102"/>
      <c r="G10" s="103"/>
    </row>
    <row r="11" spans="2:9" ht="26.4" x14ac:dyDescent="0.7">
      <c r="B11" s="59"/>
      <c r="C11" s="41"/>
      <c r="E11" s="37" t="s">
        <v>10</v>
      </c>
      <c r="F11" s="104"/>
      <c r="G11" s="105"/>
    </row>
    <row r="12" spans="2:9" x14ac:dyDescent="0.6">
      <c r="B12" s="60"/>
      <c r="C12" s="41"/>
      <c r="E12" s="39" t="s">
        <v>11</v>
      </c>
      <c r="F12" s="106"/>
      <c r="G12" s="107"/>
    </row>
    <row r="13" spans="2:9" x14ac:dyDescent="0.6">
      <c r="B13" s="59"/>
      <c r="C13" s="42" t="s">
        <v>59</v>
      </c>
      <c r="E13" s="43" t="s">
        <v>50</v>
      </c>
      <c r="F13" s="91"/>
      <c r="G13" s="92"/>
    </row>
    <row r="14" spans="2:9" x14ac:dyDescent="0.6">
      <c r="B14" s="59"/>
      <c r="C14" s="44"/>
      <c r="G14" s="61"/>
      <c r="I14" s="6"/>
    </row>
    <row r="15" spans="2:9" ht="28.5" customHeight="1" x14ac:dyDescent="0.65">
      <c r="B15" s="62" t="s">
        <v>55</v>
      </c>
      <c r="C15" s="108"/>
      <c r="D15" s="108"/>
      <c r="E15" s="108"/>
      <c r="F15" s="108"/>
      <c r="G15" s="109"/>
      <c r="I15" s="78"/>
    </row>
    <row r="16" spans="2:9" s="26" customFormat="1" ht="17.25" customHeight="1" x14ac:dyDescent="0.3">
      <c r="B16" s="63" t="s">
        <v>12</v>
      </c>
      <c r="G16" s="64"/>
    </row>
    <row r="17" spans="2:7" x14ac:dyDescent="0.6">
      <c r="B17" s="65" t="s">
        <v>0</v>
      </c>
      <c r="C17" s="24" t="s">
        <v>1</v>
      </c>
      <c r="D17" s="24" t="s">
        <v>2</v>
      </c>
      <c r="E17" s="24" t="s">
        <v>3</v>
      </c>
      <c r="F17" s="24" t="s">
        <v>4</v>
      </c>
      <c r="G17" s="66" t="s">
        <v>5</v>
      </c>
    </row>
    <row r="18" spans="2:7" s="23" customFormat="1" ht="20.25" customHeight="1" x14ac:dyDescent="0.6">
      <c r="B18" s="75"/>
      <c r="C18" s="79"/>
      <c r="D18" s="27"/>
      <c r="E18" s="28"/>
      <c r="F18" s="28"/>
      <c r="G18" s="67"/>
    </row>
    <row r="19" spans="2:7" s="80" customFormat="1" ht="19.5" customHeight="1" x14ac:dyDescent="0.5">
      <c r="B19" s="81">
        <v>1</v>
      </c>
      <c r="C19" s="82"/>
      <c r="D19" s="83"/>
      <c r="E19" s="84"/>
      <c r="F19" s="84"/>
      <c r="G19" s="85"/>
    </row>
    <row r="20" spans="2:7" s="80" customFormat="1" ht="19.5" customHeight="1" x14ac:dyDescent="0.5">
      <c r="B20" s="81">
        <v>2</v>
      </c>
      <c r="C20" s="82"/>
      <c r="D20" s="83"/>
      <c r="E20" s="84"/>
      <c r="F20" s="84"/>
      <c r="G20" s="85"/>
    </row>
    <row r="21" spans="2:7" s="80" customFormat="1" ht="19.5" customHeight="1" x14ac:dyDescent="0.5">
      <c r="B21" s="81"/>
      <c r="C21" s="82"/>
      <c r="D21" s="83"/>
      <c r="E21" s="84"/>
      <c r="F21" s="84"/>
      <c r="G21" s="85"/>
    </row>
    <row r="22" spans="2:7" s="80" customFormat="1" ht="19.5" customHeight="1" x14ac:dyDescent="0.5">
      <c r="B22" s="81"/>
      <c r="C22" s="82"/>
      <c r="D22" s="84"/>
      <c r="E22" s="84"/>
      <c r="F22" s="84"/>
      <c r="G22" s="85"/>
    </row>
    <row r="23" spans="2:7" s="80" customFormat="1" ht="19.5" customHeight="1" x14ac:dyDescent="0.5">
      <c r="B23" s="81"/>
      <c r="C23" s="82"/>
      <c r="D23" s="84"/>
      <c r="E23" s="84"/>
      <c r="F23" s="84"/>
      <c r="G23" s="85"/>
    </row>
    <row r="24" spans="2:7" s="80" customFormat="1" ht="19.5" customHeight="1" x14ac:dyDescent="0.5">
      <c r="B24" s="81"/>
      <c r="C24" s="82"/>
      <c r="D24" s="83"/>
      <c r="E24" s="84"/>
      <c r="F24" s="84"/>
      <c r="G24" s="85"/>
    </row>
    <row r="25" spans="2:7" s="80" customFormat="1" ht="19.5" customHeight="1" x14ac:dyDescent="0.5">
      <c r="B25" s="81"/>
      <c r="C25" s="82"/>
      <c r="D25" s="83"/>
      <c r="E25" s="84"/>
      <c r="F25" s="84"/>
      <c r="G25" s="85"/>
    </row>
    <row r="26" spans="2:7" s="80" customFormat="1" ht="19.5" customHeight="1" x14ac:dyDescent="0.55000000000000004">
      <c r="B26" s="86"/>
      <c r="C26" s="82"/>
      <c r="D26" s="83"/>
      <c r="E26" s="84"/>
      <c r="F26" s="84"/>
      <c r="G26" s="85"/>
    </row>
    <row r="27" spans="2:7" s="80" customFormat="1" ht="19.5" customHeight="1" x14ac:dyDescent="0.55000000000000004">
      <c r="B27" s="86"/>
      <c r="C27" s="82"/>
      <c r="D27" s="83"/>
      <c r="E27" s="84"/>
      <c r="F27" s="84"/>
      <c r="G27" s="85"/>
    </row>
    <row r="28" spans="2:7" s="80" customFormat="1" ht="19.5" customHeight="1" x14ac:dyDescent="0.55000000000000004">
      <c r="B28" s="86"/>
      <c r="C28" s="82"/>
      <c r="D28" s="83"/>
      <c r="E28" s="84"/>
      <c r="F28" s="84"/>
      <c r="G28" s="85"/>
    </row>
    <row r="29" spans="2:7" s="80" customFormat="1" ht="19.5" customHeight="1" x14ac:dyDescent="0.55000000000000004">
      <c r="B29" s="86"/>
      <c r="C29" s="82"/>
      <c r="D29" s="83"/>
      <c r="E29" s="84"/>
      <c r="F29" s="84"/>
      <c r="G29" s="85"/>
    </row>
    <row r="30" spans="2:7" ht="26.4" x14ac:dyDescent="0.7">
      <c r="B30" s="68" t="s">
        <v>49</v>
      </c>
      <c r="C30" s="20"/>
      <c r="D30" s="7" t="s">
        <v>6</v>
      </c>
      <c r="E30" s="8"/>
      <c r="F30" s="9"/>
      <c r="G30" s="69">
        <f>SUM(G18:G29)</f>
        <v>0</v>
      </c>
    </row>
    <row r="31" spans="2:7" ht="25.8" x14ac:dyDescent="0.65">
      <c r="B31" s="47" t="s">
        <v>60</v>
      </c>
      <c r="C31" s="21"/>
      <c r="D31" s="10" t="s">
        <v>13</v>
      </c>
      <c r="E31" s="45"/>
      <c r="F31" s="11"/>
      <c r="G31" s="69"/>
    </row>
    <row r="32" spans="2:7" x14ac:dyDescent="0.6">
      <c r="B32" s="77"/>
      <c r="D32" s="10" t="s">
        <v>14</v>
      </c>
      <c r="E32" s="45"/>
      <c r="F32" s="11"/>
      <c r="G32" s="69">
        <f>SUM(G30-G31)</f>
        <v>0</v>
      </c>
    </row>
    <row r="33" spans="2:7" x14ac:dyDescent="0.6">
      <c r="B33" s="47"/>
      <c r="C33" s="22"/>
      <c r="D33" s="12" t="s">
        <v>15</v>
      </c>
      <c r="E33" s="13">
        <v>7.0000000000000007E-2</v>
      </c>
      <c r="F33" s="14"/>
      <c r="G33" s="69">
        <f>G32*E33</f>
        <v>0</v>
      </c>
    </row>
    <row r="34" spans="2:7" ht="27.75" customHeight="1" x14ac:dyDescent="0.7">
      <c r="B34" s="100" t="str">
        <f>BAHTTEXT(G34)</f>
        <v>ศูนย์บาทถ้วน</v>
      </c>
      <c r="C34" s="101"/>
      <c r="D34" s="25" t="s">
        <v>7</v>
      </c>
      <c r="E34" s="15"/>
      <c r="F34" s="16"/>
      <c r="G34" s="76">
        <f>G32+G33</f>
        <v>0</v>
      </c>
    </row>
    <row r="35" spans="2:7" ht="8.25" customHeight="1" x14ac:dyDescent="0.6">
      <c r="B35" s="70"/>
      <c r="G35" s="61"/>
    </row>
    <row r="36" spans="2:7" x14ac:dyDescent="0.6">
      <c r="B36" s="47"/>
      <c r="C36" s="6"/>
      <c r="G36" s="61"/>
    </row>
    <row r="37" spans="2:7" x14ac:dyDescent="0.6">
      <c r="B37" s="47"/>
      <c r="C37" s="6" t="s">
        <v>57</v>
      </c>
      <c r="D37" s="46" t="s">
        <v>27</v>
      </c>
      <c r="E37" s="17"/>
      <c r="F37" s="17"/>
      <c r="G37" s="71"/>
    </row>
    <row r="38" spans="2:7" x14ac:dyDescent="0.6">
      <c r="B38" s="47"/>
      <c r="C38" s="5" t="s">
        <v>58</v>
      </c>
      <c r="D38" s="6"/>
      <c r="E38" s="87" t="s">
        <v>28</v>
      </c>
      <c r="F38" s="87"/>
      <c r="G38" s="88"/>
    </row>
    <row r="39" spans="2:7" x14ac:dyDescent="0.6">
      <c r="B39" s="72"/>
      <c r="C39" s="73"/>
      <c r="D39" s="74"/>
      <c r="E39" s="89" t="s">
        <v>29</v>
      </c>
      <c r="F39" s="89"/>
      <c r="G39" s="90"/>
    </row>
  </sheetData>
  <sheetProtection formatRows="0"/>
  <protectedRanges>
    <protectedRange sqref="B7:G7" name="ช่วง1"/>
  </protectedRanges>
  <mergeCells count="11">
    <mergeCell ref="E38:G38"/>
    <mergeCell ref="E39:G39"/>
    <mergeCell ref="F13:G13"/>
    <mergeCell ref="B7:G7"/>
    <mergeCell ref="F8:G8"/>
    <mergeCell ref="F9:G9"/>
    <mergeCell ref="B34:C34"/>
    <mergeCell ref="F10:G10"/>
    <mergeCell ref="F11:G11"/>
    <mergeCell ref="F12:G12"/>
    <mergeCell ref="C15:G15"/>
  </mergeCells>
  <dataValidations count="1">
    <dataValidation type="list" allowBlank="1" showInputMessage="1" showErrorMessage="1" sqref="C10" xr:uid="{888D6629-1136-4233-9AC7-BA94C01D0D2B}">
      <formula1>Customer</formula1>
    </dataValidation>
  </dataValidations>
  <hyperlinks>
    <hyperlink ref="C5" r:id="rId1" xr:uid="{EEE50F27-9E77-44A0-9CD8-E1A7F7D3539D}"/>
  </hyperlinks>
  <pageMargins left="0" right="0" top="0.19685039370078741" bottom="0.19685039370078741" header="0.51181102362204722" footer="0.51181102362204722"/>
  <pageSetup paperSize="9" scale="94" orientation="portrait" horizontalDpi="1200" verticalDpi="12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00C3E3-1FEE-47E1-9167-AD8F739BDE58}">
          <x14:formula1>
            <xm:f>Customer!$J$1:$J$4</xm:f>
          </x14:formula1>
          <xm:sqref>F13:G13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8684-C240-448F-9677-52AEE6E02187}">
  <dimension ref="A1:J5"/>
  <sheetViews>
    <sheetView zoomScale="85" zoomScaleNormal="85" workbookViewId="0">
      <selection activeCell="J5" sqref="J5"/>
    </sheetView>
  </sheetViews>
  <sheetFormatPr defaultRowHeight="25.8" x14ac:dyDescent="0.65"/>
  <cols>
    <col min="1" max="1" width="50.6640625" style="1" bestFit="1" customWidth="1"/>
    <col min="2" max="2" width="61" style="1" bestFit="1" customWidth="1"/>
    <col min="3" max="3" width="59.33203125" style="1" customWidth="1"/>
    <col min="4" max="4" width="48" style="1" customWidth="1"/>
    <col min="5" max="5" width="12.33203125" customWidth="1"/>
    <col min="6" max="6" width="18.109375" bestFit="1" customWidth="1"/>
  </cols>
  <sheetData>
    <row r="1" spans="1:10" ht="26.4" x14ac:dyDescent="0.7">
      <c r="A1" s="2" t="s">
        <v>16</v>
      </c>
      <c r="B1" s="2" t="s">
        <v>30</v>
      </c>
      <c r="C1" s="2" t="s">
        <v>31</v>
      </c>
      <c r="D1" s="2"/>
      <c r="E1" s="2" t="s">
        <v>17</v>
      </c>
      <c r="F1" s="2" t="s">
        <v>18</v>
      </c>
      <c r="J1" t="s">
        <v>52</v>
      </c>
    </row>
    <row r="2" spans="1:10" x14ac:dyDescent="0.65">
      <c r="A2" s="1" t="s">
        <v>19</v>
      </c>
      <c r="B2" s="1" t="s">
        <v>32</v>
      </c>
      <c r="C2" s="1" t="s">
        <v>33</v>
      </c>
      <c r="D2" s="4" t="s">
        <v>42</v>
      </c>
      <c r="E2" s="1" t="s">
        <v>20</v>
      </c>
      <c r="F2" s="1" t="s">
        <v>21</v>
      </c>
      <c r="J2" t="s">
        <v>51</v>
      </c>
    </row>
    <row r="3" spans="1:10" x14ac:dyDescent="0.65">
      <c r="A3" s="1" t="s">
        <v>22</v>
      </c>
      <c r="B3" s="1" t="s">
        <v>34</v>
      </c>
      <c r="C3" s="1" t="s">
        <v>35</v>
      </c>
      <c r="D3" s="4">
        <v>105551046141</v>
      </c>
      <c r="E3" s="1" t="s">
        <v>23</v>
      </c>
      <c r="F3" s="1" t="s">
        <v>24</v>
      </c>
      <c r="J3" t="s">
        <v>53</v>
      </c>
    </row>
    <row r="4" spans="1:10" x14ac:dyDescent="0.65">
      <c r="A4" s="1" t="s">
        <v>36</v>
      </c>
      <c r="B4" s="1" t="s">
        <v>37</v>
      </c>
      <c r="C4" s="1" t="s">
        <v>38</v>
      </c>
      <c r="D4" s="4">
        <v>115553011042</v>
      </c>
      <c r="E4" s="1" t="s">
        <v>25</v>
      </c>
      <c r="F4" s="1" t="s">
        <v>26</v>
      </c>
      <c r="J4" t="s">
        <v>54</v>
      </c>
    </row>
    <row r="5" spans="1:10" x14ac:dyDescent="0.65">
      <c r="A5" s="1" t="s">
        <v>44</v>
      </c>
      <c r="B5" s="1" t="s">
        <v>45</v>
      </c>
      <c r="C5" s="1" t="s">
        <v>46</v>
      </c>
      <c r="D5" s="3" t="s">
        <v>47</v>
      </c>
      <c r="E5" s="1" t="s">
        <v>48</v>
      </c>
    </row>
  </sheetData>
  <pageMargins left="0.7" right="0.7" top="0.75" bottom="0.75" header="0.3" footer="0.3"/>
  <pageSetup scale="3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Quotation</vt:lpstr>
      <vt:lpstr>Customer</vt:lpstr>
      <vt:lpstr>Customer</vt:lpstr>
      <vt:lpstr>Customer!Print_Area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Natdanai .</cp:lastModifiedBy>
  <cp:lastPrinted>2026-10-07T03:03:45Z</cp:lastPrinted>
  <dcterms:created xsi:type="dcterms:W3CDTF">2025-11-30T07:58:14Z</dcterms:created>
  <dcterms:modified xsi:type="dcterms:W3CDTF">2026-10-07T03:48:21Z</dcterms:modified>
</cp:coreProperties>
</file>